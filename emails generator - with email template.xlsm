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508635\Desktop\Yuxi\2024 incentive\chief adjustment\"/>
    </mc:Choice>
  </mc:AlternateContent>
  <xr:revisionPtr revIDLastSave="0" documentId="13_ncr:1_{19B9787C-CDB7-4D1E-A741-9D18922CD44C}" xr6:coauthVersionLast="47" xr6:coauthVersionMax="47" xr10:uidLastSave="{00000000-0000-0000-0000-000000000000}"/>
  <bookViews>
    <workbookView xWindow="-110" yWindow="-110" windowWidth="19420" windowHeight="11620" xr2:uid="{EB1E8226-1182-45D3-94BC-E7DF547940AA}"/>
  </bookViews>
  <sheets>
    <sheet name="Sheet3" sheetId="3" r:id="rId1"/>
    <sheet name="Sheet2" sheetId="5" r:id="rId2"/>
  </sheets>
  <definedNames>
    <definedName name="_Hlk528588344" localSheetId="0">Sheet3!$F$36</definedName>
    <definedName name="_MailAutoSig" localSheetId="0">Sheet3!$F$24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3" l="1"/>
  <c r="D5" i="3" l="1"/>
  <c r="D10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" i="3"/>
  <c r="E3" i="3"/>
  <c r="H3" i="3" s="1"/>
  <c r="E4" i="3"/>
  <c r="H4" i="3" s="1"/>
  <c r="E5" i="3"/>
  <c r="E6" i="3"/>
  <c r="E7" i="3"/>
  <c r="E8" i="3"/>
  <c r="E9" i="3"/>
  <c r="E10" i="3"/>
  <c r="E11" i="3"/>
  <c r="E12" i="3"/>
  <c r="E13" i="3"/>
  <c r="H13" i="3" s="1"/>
  <c r="E14" i="3"/>
  <c r="H14" i="3" s="1"/>
  <c r="E15" i="3"/>
  <c r="H15" i="3" s="1"/>
  <c r="E16" i="3"/>
  <c r="H16" i="3" s="1"/>
  <c r="E17" i="3"/>
  <c r="E18" i="3"/>
  <c r="E19" i="3"/>
  <c r="E20" i="3"/>
  <c r="E21" i="3"/>
  <c r="E2" i="3"/>
  <c r="D3" i="3"/>
  <c r="D4" i="3"/>
  <c r="D6" i="3"/>
  <c r="D7" i="3"/>
  <c r="D9" i="3"/>
  <c r="D11" i="3"/>
  <c r="D12" i="3"/>
  <c r="D13" i="3"/>
  <c r="D14" i="3"/>
  <c r="D15" i="3"/>
  <c r="D16" i="3"/>
  <c r="D17" i="3"/>
  <c r="D18" i="3"/>
  <c r="D19" i="3"/>
  <c r="D20" i="3"/>
  <c r="D21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" i="3"/>
  <c r="H12" i="3" l="1"/>
  <c r="H11" i="3"/>
  <c r="H10" i="3"/>
  <c r="H21" i="3"/>
  <c r="H9" i="3"/>
  <c r="H20" i="3"/>
  <c r="H8" i="3"/>
  <c r="H19" i="3"/>
  <c r="H7" i="3"/>
  <c r="H18" i="3"/>
  <c r="H6" i="3"/>
  <c r="H17" i="3"/>
  <c r="H5" i="3"/>
  <c r="H2" i="3"/>
</calcChain>
</file>

<file path=xl/sharedStrings.xml><?xml version="1.0" encoding="utf-8"?>
<sst xmlns="http://schemas.openxmlformats.org/spreadsheetml/2006/main" count="133" uniqueCount="93">
  <si>
    <t>NAME</t>
  </si>
  <si>
    <t>EMAIL</t>
  </si>
  <si>
    <t>FILE NAME</t>
  </si>
  <si>
    <t>Folder</t>
  </si>
  <si>
    <t>Grant, Carron R</t>
  </si>
  <si>
    <t>Lee, Christina J</t>
  </si>
  <si>
    <t>Bauer, Amanda L</t>
  </si>
  <si>
    <t>Bolander, Claire W</t>
  </si>
  <si>
    <t>Patel, Chirag Y</t>
  </si>
  <si>
    <t>Trambadia, Mitesh G</t>
  </si>
  <si>
    <t>Salahuddin, Syed A</t>
  </si>
  <si>
    <t>Zulu, Samana H</t>
  </si>
  <si>
    <t>Al-Bustani, Saif S</t>
  </si>
  <si>
    <t>Khan-Arthur, Gregory A</t>
  </si>
  <si>
    <t>Palmer, Shanique R</t>
  </si>
  <si>
    <t>SUPERVISOR NAME</t>
  </si>
  <si>
    <t>Kwame.X.Akoto@kp.org</t>
  </si>
  <si>
    <t>saif.s.al-bustani@kp.org</t>
  </si>
  <si>
    <t>amanda.l.bauer@kp.org</t>
  </si>
  <si>
    <t>claire.w.bolander@kp.org</t>
  </si>
  <si>
    <t>Carron.R.Grant@kp.org</t>
  </si>
  <si>
    <t>gregory.a.khan-arthur@kp.org</t>
  </si>
  <si>
    <t>christina.j.lee@kp.org</t>
  </si>
  <si>
    <t>asha.manohar@kp.org</t>
  </si>
  <si>
    <t>tola.t.oyesanya@kp.org</t>
  </si>
  <si>
    <t>shanique.r.palmer@kp.org</t>
  </si>
  <si>
    <t>Chirag.Y.Patel@kp.org</t>
  </si>
  <si>
    <t>Syed.a.salahuddin@kp.org</t>
  </si>
  <si>
    <t>mitesh.g.trambadia@kp.org</t>
  </si>
  <si>
    <t>samana.h.zulu@kp.org</t>
  </si>
  <si>
    <t>ADDRESS1</t>
  </si>
  <si>
    <t>dept</t>
  </si>
  <si>
    <t>last NAME</t>
  </si>
  <si>
    <t>Akoto,</t>
  </si>
  <si>
    <t>Al-Bustani,</t>
  </si>
  <si>
    <t>Bauer,</t>
  </si>
  <si>
    <t>Bolander,</t>
  </si>
  <si>
    <t>Bullock,</t>
  </si>
  <si>
    <t>Charles,</t>
  </si>
  <si>
    <t>DeVience,</t>
  </si>
  <si>
    <t>Grant,</t>
  </si>
  <si>
    <t>Khan-Arthur,</t>
  </si>
  <si>
    <t>Lee,</t>
  </si>
  <si>
    <t>Manohar,</t>
  </si>
  <si>
    <t>Oyesanya,</t>
  </si>
  <si>
    <t>Palmer,</t>
  </si>
  <si>
    <t>Patel,</t>
  </si>
  <si>
    <t>Salahuddin,</t>
  </si>
  <si>
    <t>Trambadia,</t>
  </si>
  <si>
    <t>Zulu,</t>
  </si>
  <si>
    <t>cc</t>
  </si>
  <si>
    <t>yuxi.x.wang@kp.org</t>
  </si>
  <si>
    <t>C:\Users\B508635\Desktop\Yuxi\2024 incentive\chief adjustment\excel</t>
  </si>
  <si>
    <t>Campbell, Catherine Y</t>
  </si>
  <si>
    <t xml:space="preserve">Charles, Lysa  </t>
  </si>
  <si>
    <t xml:space="preserve">DeVience, Eva  </t>
  </si>
  <si>
    <t>Dixon, Tekeema A</t>
  </si>
  <si>
    <t xml:space="preserve">Manohar, Asha  </t>
  </si>
  <si>
    <t xml:space="preserve">Oyesanya, Tola  </t>
  </si>
  <si>
    <t>Wollins, Eric R</t>
  </si>
  <si>
    <t>DEPARTMENT(S)</t>
  </si>
  <si>
    <t>Akoto, Kwame</t>
  </si>
  <si>
    <t>Bullock, Eddye</t>
  </si>
  <si>
    <t>eddye.bullock@kp.org</t>
  </si>
  <si>
    <t>catherine.campbell@kp.org</t>
  </si>
  <si>
    <t>eva.x.devience@kp.org</t>
  </si>
  <si>
    <t>lysa.charles@kp.org</t>
  </si>
  <si>
    <t>tekeema.a.dixon@kp.org</t>
  </si>
  <si>
    <t>eric.r.wollins@kp.org</t>
  </si>
  <si>
    <t>SUPERVISOR</t>
  </si>
  <si>
    <t>Campbell,</t>
  </si>
  <si>
    <t>Dixon,</t>
  </si>
  <si>
    <t>Wollins,</t>
  </si>
  <si>
    <t>[MED SPEC]</t>
  </si>
  <si>
    <t>[HNS]</t>
  </si>
  <si>
    <t>[ACS]</t>
  </si>
  <si>
    <t>[OBGYN]</t>
  </si>
  <si>
    <t>[AFM]</t>
  </si>
  <si>
    <t>[CARD]</t>
  </si>
  <si>
    <t>[ORTHO]</t>
  </si>
  <si>
    <t>[OPHTH]</t>
  </si>
  <si>
    <t>[PEDS]</t>
  </si>
  <si>
    <t>[POD]</t>
  </si>
  <si>
    <t>[PAIN]</t>
  </si>
  <si>
    <t>[PSYCH]</t>
  </si>
  <si>
    <t>[ANES]</t>
  </si>
  <si>
    <t>[DERM]</t>
  </si>
  <si>
    <t>[ONC]</t>
  </si>
  <si>
    <t>[UROL]</t>
  </si>
  <si>
    <t>[NEUR]</t>
  </si>
  <si>
    <t>[HBS]</t>
  </si>
  <si>
    <t>[GI]</t>
  </si>
  <si>
    <t>[GEN SURG]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</si>
</sst>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412750</xdr:colOff>
      <xdr:row>6</xdr:row>
      <xdr:rowOff>101600</xdr:rowOff>
    </xdr:from>
    <xdr:to>
      <xdr:col>12</xdr:col>
      <xdr:colOff>95250</xdr:colOff>
      <xdr:row>8</xdr:row>
      <xdr:rowOff>0</xdr:rowOff>
    </xdr:to>
    <xdr:sp macro="[0]!mygirl" textlink="">
      <xdr:nvSpPr>
        <xdr:cNvPr id="2" name="Rectangle 1">
          <a:extLst>
            <a:ext uri="{FF2B5EF4-FFF2-40B4-BE49-F238E27FC236}">
              <a16:creationId xmlns:a16="http://schemas.microsoft.com/office/drawing/2014/main" id="{3501A7DE-8614-70BB-15E2-E1420A24353D}"/>
            </a:ext>
          </a:extLst>
        </xdr:cNvPr>
        <xdr:cNvSpPr/>
      </xdr:nvSpPr>
      <xdr:spPr>
        <a:xfrm>
          <a:off x="6508750" y="1022350"/>
          <a:ext cx="901700" cy="28575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Send Emails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yuxi.x.wang@kp.org" TargetMode="External"/><Relationship Id="rId1" Type="http://schemas.openxmlformats.org/officeDocument/2006/relationships/hyperlink" Target="mailto:yuxi.x.wang@kp.org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43B5-2380-4AB0-BBEF-C769EC14194D}">
  <sheetPr codeName="Sheet3"/>
  <dimension ref="A1:P21"/>
  <sheetViews>
    <sheetView tabSelected="1" workbookViewId="0">
      <selection activeCell="D2" sqref="D2"/>
    </sheetView>
  </sheetViews>
  <sheetFormatPr defaultRowHeight="14.5" x14ac:dyDescent="0.35"/>
  <cols>
    <col min="1" max="8" width="10.08984375" customWidth="1"/>
  </cols>
  <sheetData>
    <row r="1" spans="1:16" x14ac:dyDescent="0.35">
      <c r="A1" s="2"/>
      <c r="B1" s="2" t="s">
        <v>0</v>
      </c>
      <c r="C1" s="2" t="s">
        <v>1</v>
      </c>
      <c r="D1" s="2" t="s">
        <v>32</v>
      </c>
      <c r="E1" s="2" t="s">
        <v>31</v>
      </c>
      <c r="F1" s="2" t="s">
        <v>50</v>
      </c>
      <c r="G1" s="2" t="s">
        <v>2</v>
      </c>
      <c r="H1" s="2" t="s">
        <v>30</v>
      </c>
      <c r="I1" s="2"/>
      <c r="O1" t="s">
        <v>3</v>
      </c>
      <c r="P1" s="1" t="s">
        <v>52</v>
      </c>
    </row>
    <row r="2" spans="1:16" x14ac:dyDescent="0.35">
      <c r="B2" t="s">
        <v>61</v>
      </c>
      <c r="C2" t="str">
        <f>VLOOKUP(B2,Sheet2!A:C,3,0)</f>
        <v>Kwame.X.Akoto@kp.org</v>
      </c>
      <c r="D2" t="str">
        <f>VLOOKUP(B2,Sheet2!A:D,4,0)</f>
        <v>Akoto,</v>
      </c>
      <c r="E2" t="str">
        <f>VLOOKUP(B2,Sheet2!A:D,2,0)</f>
        <v>[MED SPEC]</v>
      </c>
      <c r="F2" s="3" t="s">
        <v>51</v>
      </c>
      <c r="G2" t="str">
        <f>"\"&amp;E2&amp;"_INCENTIVES_2023.xlsx"</f>
        <v>\[MED SPEC]_INCENTIVES_2023.xlsx</v>
      </c>
      <c r="H2" t="str">
        <f t="shared" ref="H2:H21" si="0">$P$1&amp;G2</f>
        <v>C:\Users\B508635\Desktop\Yuxi\2024 incentive\chief adjustment\excel\[MED SPEC]_INCENTIVES_2023.xlsx</v>
      </c>
      <c r="I2" s="3"/>
    </row>
    <row r="3" spans="1:16" x14ac:dyDescent="0.35">
      <c r="B3" t="s">
        <v>12</v>
      </c>
      <c r="C3" t="str">
        <f>VLOOKUP(B3,Sheet2!A:C,3,0)</f>
        <v>saif.s.al-bustani@kp.org</v>
      </c>
      <c r="D3" t="str">
        <f>VLOOKUP(B3,Sheet2!A:D,4,0)</f>
        <v>Al-Bustani,</v>
      </c>
      <c r="E3" t="str">
        <f>VLOOKUP(B3,Sheet2!A:D,2,0)</f>
        <v>[HNS]</v>
      </c>
      <c r="F3" s="3" t="s">
        <v>51</v>
      </c>
      <c r="G3" t="str">
        <f t="shared" ref="G3:G21" si="1">"\"&amp;E3&amp;"_INCENTIVES_2023.xlsx"</f>
        <v>\[HNS]_INCENTIVES_2023.xlsx</v>
      </c>
      <c r="H3" t="str">
        <f t="shared" si="0"/>
        <v>C:\Users\B508635\Desktop\Yuxi\2024 incentive\chief adjustment\excel\[HNS]_INCENTIVES_2023.xlsx</v>
      </c>
      <c r="I3" s="3"/>
    </row>
    <row r="4" spans="1:16" x14ac:dyDescent="0.35">
      <c r="B4" t="s">
        <v>6</v>
      </c>
      <c r="C4" t="str">
        <f>VLOOKUP(B4,Sheet2!A:C,3,0)</f>
        <v>amanda.l.bauer@kp.org</v>
      </c>
      <c r="D4" t="str">
        <f>VLOOKUP(B4,Sheet2!A:D,4,0)</f>
        <v>Bauer,</v>
      </c>
      <c r="E4" t="str">
        <f>VLOOKUP(B4,Sheet2!A:D,2,0)</f>
        <v>[ACS]</v>
      </c>
      <c r="F4" s="3" t="s">
        <v>51</v>
      </c>
      <c r="G4" t="str">
        <f t="shared" si="1"/>
        <v>\[ACS]_INCENTIVES_2023.xlsx</v>
      </c>
      <c r="H4" t="str">
        <f t="shared" si="0"/>
        <v>C:\Users\B508635\Desktop\Yuxi\2024 incentive\chief adjustment\excel\[ACS]_INCENTIVES_2023.xlsx</v>
      </c>
      <c r="I4" s="3"/>
    </row>
    <row r="5" spans="1:16" x14ac:dyDescent="0.35">
      <c r="B5" t="s">
        <v>7</v>
      </c>
      <c r="C5" t="str">
        <f>VLOOKUP(B5,Sheet2!A:C,3,0)</f>
        <v>claire.w.bolander@kp.org</v>
      </c>
      <c r="D5" t="str">
        <f>VLOOKUP(B5,Sheet2!A:D,4,0)</f>
        <v>Bolander,</v>
      </c>
      <c r="E5" t="str">
        <f>VLOOKUP(B5,Sheet2!A:D,2,0)</f>
        <v>[OBGYN]</v>
      </c>
      <c r="F5" s="3" t="s">
        <v>51</v>
      </c>
      <c r="G5" t="str">
        <f t="shared" si="1"/>
        <v>\[OBGYN]_INCENTIVES_2023.xlsx</v>
      </c>
      <c r="H5" t="str">
        <f t="shared" si="0"/>
        <v>C:\Users\B508635\Desktop\Yuxi\2024 incentive\chief adjustment\excel\[OBGYN]_INCENTIVES_2023.xlsx</v>
      </c>
      <c r="I5" s="3"/>
    </row>
    <row r="6" spans="1:16" x14ac:dyDescent="0.35">
      <c r="B6" t="s">
        <v>62</v>
      </c>
      <c r="C6" t="str">
        <f>VLOOKUP(B6,Sheet2!A:C,3,0)</f>
        <v>eddye.bullock@kp.org</v>
      </c>
      <c r="D6" t="str">
        <f>VLOOKUP(B6,Sheet2!A:D,4,0)</f>
        <v>Bullock,</v>
      </c>
      <c r="E6" t="str">
        <f>VLOOKUP(B6,Sheet2!A:D,2,0)</f>
        <v>[AFM]</v>
      </c>
      <c r="F6" s="3" t="s">
        <v>51</v>
      </c>
      <c r="G6" t="str">
        <f t="shared" si="1"/>
        <v>\[AFM]_INCENTIVES_2023.xlsx</v>
      </c>
      <c r="H6" t="str">
        <f t="shared" si="0"/>
        <v>C:\Users\B508635\Desktop\Yuxi\2024 incentive\chief adjustment\excel\[AFM]_INCENTIVES_2023.xlsx</v>
      </c>
      <c r="I6" s="3"/>
    </row>
    <row r="7" spans="1:16" x14ac:dyDescent="0.35">
      <c r="B7" t="s">
        <v>53</v>
      </c>
      <c r="C7" t="str">
        <f>VLOOKUP(B7,Sheet2!A:C,3,0)</f>
        <v>catherine.campbell@kp.org</v>
      </c>
      <c r="D7" t="str">
        <f>VLOOKUP(B7,Sheet2!A:D,4,0)</f>
        <v>Campbell,</v>
      </c>
      <c r="E7" t="str">
        <f>VLOOKUP(B7,Sheet2!A:D,2,0)</f>
        <v>[CARD]</v>
      </c>
      <c r="F7" s="3" t="s">
        <v>51</v>
      </c>
      <c r="G7" t="str">
        <f t="shared" si="1"/>
        <v>\[CARD]_INCENTIVES_2023.xlsx</v>
      </c>
      <c r="H7" t="str">
        <f t="shared" si="0"/>
        <v>C:\Users\B508635\Desktop\Yuxi\2024 incentive\chief adjustment\excel\[CARD]_INCENTIVES_2023.xlsx</v>
      </c>
      <c r="I7" s="3"/>
    </row>
    <row r="8" spans="1:16" x14ac:dyDescent="0.35">
      <c r="B8" t="s">
        <v>54</v>
      </c>
      <c r="C8" t="str">
        <f>VLOOKUP(B8,Sheet2!A:C,3,0)</f>
        <v>lysa.charles@kp.org</v>
      </c>
      <c r="D8" t="str">
        <f>VLOOKUP(B8,Sheet2!A:D,4,0)</f>
        <v>Charles,</v>
      </c>
      <c r="E8" t="str">
        <f>VLOOKUP(B8,Sheet2!A:D,2,0)</f>
        <v>[ORTHO]</v>
      </c>
      <c r="F8" s="3" t="s">
        <v>51</v>
      </c>
      <c r="G8" t="str">
        <f t="shared" si="1"/>
        <v>\[ORTHO]_INCENTIVES_2023.xlsx</v>
      </c>
      <c r="H8" t="str">
        <f t="shared" si="0"/>
        <v>C:\Users\B508635\Desktop\Yuxi\2024 incentive\chief adjustment\excel\[ORTHO]_INCENTIVES_2023.xlsx</v>
      </c>
      <c r="I8" s="3"/>
    </row>
    <row r="9" spans="1:16" x14ac:dyDescent="0.35">
      <c r="B9" t="s">
        <v>55</v>
      </c>
      <c r="C9" t="str">
        <f>VLOOKUP(B9,Sheet2!A:C,3,0)</f>
        <v>eva.x.devience@kp.org</v>
      </c>
      <c r="D9" t="str">
        <f>VLOOKUP(B9,Sheet2!A:D,4,0)</f>
        <v>DeVience,</v>
      </c>
      <c r="E9" t="str">
        <f>VLOOKUP(B9,Sheet2!A:D,2,0)</f>
        <v>[OPHTH]</v>
      </c>
      <c r="F9" s="3" t="s">
        <v>51</v>
      </c>
      <c r="G9" t="str">
        <f t="shared" si="1"/>
        <v>\[OPHTH]_INCENTIVES_2023.xlsx</v>
      </c>
      <c r="H9" t="str">
        <f t="shared" si="0"/>
        <v>C:\Users\B508635\Desktop\Yuxi\2024 incentive\chief adjustment\excel\[OPHTH]_INCENTIVES_2023.xlsx</v>
      </c>
      <c r="I9" s="3"/>
    </row>
    <row r="10" spans="1:16" x14ac:dyDescent="0.35">
      <c r="B10" t="s">
        <v>56</v>
      </c>
      <c r="C10" t="str">
        <f>VLOOKUP(B10,Sheet2!A:C,3,0)</f>
        <v>tekeema.a.dixon@kp.org</v>
      </c>
      <c r="D10" t="str">
        <f>VLOOKUP(B10,Sheet2!A:D,4,0)</f>
        <v>Dixon,</v>
      </c>
      <c r="E10" t="str">
        <f>VLOOKUP(B10,Sheet2!A:D,2,0)</f>
        <v>[PEDS]</v>
      </c>
      <c r="F10" s="3" t="s">
        <v>51</v>
      </c>
      <c r="G10" t="str">
        <f t="shared" si="1"/>
        <v>\[PEDS]_INCENTIVES_2023.xlsx</v>
      </c>
      <c r="H10" t="str">
        <f t="shared" si="0"/>
        <v>C:\Users\B508635\Desktop\Yuxi\2024 incentive\chief adjustment\excel\[PEDS]_INCENTIVES_2023.xlsx</v>
      </c>
      <c r="I10" s="3"/>
    </row>
    <row r="11" spans="1:16" x14ac:dyDescent="0.35">
      <c r="B11" t="s">
        <v>4</v>
      </c>
      <c r="C11" t="str">
        <f>VLOOKUP(B11,Sheet2!A:C,3,0)</f>
        <v>Carron.R.Grant@kp.org</v>
      </c>
      <c r="D11" t="str">
        <f>VLOOKUP(B11,Sheet2!A:D,4,0)</f>
        <v>Grant,</v>
      </c>
      <c r="E11" t="str">
        <f>VLOOKUP(B11,Sheet2!A:D,2,0)</f>
        <v>[POD]</v>
      </c>
      <c r="F11" s="3" t="s">
        <v>51</v>
      </c>
      <c r="G11" t="str">
        <f t="shared" si="1"/>
        <v>\[POD]_INCENTIVES_2023.xlsx</v>
      </c>
      <c r="H11" t="str">
        <f t="shared" si="0"/>
        <v>C:\Users\B508635\Desktop\Yuxi\2024 incentive\chief adjustment\excel\[POD]_INCENTIVES_2023.xlsx</v>
      </c>
      <c r="I11" s="3"/>
    </row>
    <row r="12" spans="1:16" x14ac:dyDescent="0.35">
      <c r="B12" t="s">
        <v>13</v>
      </c>
      <c r="C12" t="str">
        <f>VLOOKUP(B12,Sheet2!A:C,3,0)</f>
        <v>gregory.a.khan-arthur@kp.org</v>
      </c>
      <c r="D12" t="str">
        <f>VLOOKUP(B12,Sheet2!A:D,4,0)</f>
        <v>Khan-Arthur,</v>
      </c>
      <c r="E12" t="str">
        <f>VLOOKUP(B12,Sheet2!A:D,2,0)</f>
        <v>[PAIN]</v>
      </c>
      <c r="F12" s="3" t="s">
        <v>51</v>
      </c>
      <c r="G12" t="str">
        <f t="shared" si="1"/>
        <v>\[PAIN]_INCENTIVES_2023.xlsx</v>
      </c>
      <c r="H12" t="str">
        <f t="shared" si="0"/>
        <v>C:\Users\B508635\Desktop\Yuxi\2024 incentive\chief adjustment\excel\[PAIN]_INCENTIVES_2023.xlsx</v>
      </c>
      <c r="I12" s="3"/>
    </row>
    <row r="13" spans="1:16" x14ac:dyDescent="0.35">
      <c r="B13" t="s">
        <v>5</v>
      </c>
      <c r="C13" t="str">
        <f>VLOOKUP(B13,Sheet2!A:C,3,0)</f>
        <v>christina.j.lee@kp.org</v>
      </c>
      <c r="D13" t="str">
        <f>VLOOKUP(B13,Sheet2!A:D,4,0)</f>
        <v>Lee,</v>
      </c>
      <c r="E13" t="str">
        <f>VLOOKUP(B13,Sheet2!A:D,2,0)</f>
        <v>[PSYCH]</v>
      </c>
      <c r="F13" s="3" t="s">
        <v>51</v>
      </c>
      <c r="G13" t="str">
        <f t="shared" si="1"/>
        <v>\[PSYCH]_INCENTIVES_2023.xlsx</v>
      </c>
      <c r="H13" t="str">
        <f t="shared" si="0"/>
        <v>C:\Users\B508635\Desktop\Yuxi\2024 incentive\chief adjustment\excel\[PSYCH]_INCENTIVES_2023.xlsx</v>
      </c>
      <c r="I13" s="3"/>
    </row>
    <row r="14" spans="1:16" x14ac:dyDescent="0.35">
      <c r="B14" t="s">
        <v>57</v>
      </c>
      <c r="C14" t="str">
        <f>VLOOKUP(B14,Sheet2!A:C,3,0)</f>
        <v>asha.manohar@kp.org</v>
      </c>
      <c r="D14" t="str">
        <f>VLOOKUP(B14,Sheet2!A:D,4,0)</f>
        <v>Manohar,</v>
      </c>
      <c r="E14" t="str">
        <f>VLOOKUP(B14,Sheet2!A:D,2,0)</f>
        <v>[ANES]</v>
      </c>
      <c r="F14" s="3" t="s">
        <v>51</v>
      </c>
      <c r="G14" t="str">
        <f t="shared" si="1"/>
        <v>\[ANES]_INCENTIVES_2023.xlsx</v>
      </c>
      <c r="H14" t="str">
        <f t="shared" si="0"/>
        <v>C:\Users\B508635\Desktop\Yuxi\2024 incentive\chief adjustment\excel\[ANES]_INCENTIVES_2023.xlsx</v>
      </c>
      <c r="I14" s="3"/>
    </row>
    <row r="15" spans="1:16" x14ac:dyDescent="0.35">
      <c r="B15" t="s">
        <v>58</v>
      </c>
      <c r="C15" t="str">
        <f>VLOOKUP(B15,Sheet2!A:C,3,0)</f>
        <v>tola.t.oyesanya@kp.org</v>
      </c>
      <c r="D15" t="str">
        <f>VLOOKUP(B15,Sheet2!A:D,4,0)</f>
        <v>Oyesanya,</v>
      </c>
      <c r="E15" t="str">
        <f>VLOOKUP(B15,Sheet2!A:D,2,0)</f>
        <v>[DERM]</v>
      </c>
      <c r="F15" s="3" t="s">
        <v>51</v>
      </c>
      <c r="G15" t="str">
        <f t="shared" si="1"/>
        <v>\[DERM]_INCENTIVES_2023.xlsx</v>
      </c>
      <c r="H15" t="str">
        <f t="shared" si="0"/>
        <v>C:\Users\B508635\Desktop\Yuxi\2024 incentive\chief adjustment\excel\[DERM]_INCENTIVES_2023.xlsx</v>
      </c>
      <c r="I15" s="3"/>
    </row>
    <row r="16" spans="1:16" x14ac:dyDescent="0.35">
      <c r="B16" t="s">
        <v>14</v>
      </c>
      <c r="C16" t="str">
        <f>VLOOKUP(B16,Sheet2!A:C,3,0)</f>
        <v>shanique.r.palmer@kp.org</v>
      </c>
      <c r="D16" t="str">
        <f>VLOOKUP(B16,Sheet2!A:D,4,0)</f>
        <v>Palmer,</v>
      </c>
      <c r="E16" t="str">
        <f>VLOOKUP(B16,Sheet2!A:D,2,0)</f>
        <v>[ONC]</v>
      </c>
      <c r="F16" s="3" t="s">
        <v>51</v>
      </c>
      <c r="G16" t="str">
        <f t="shared" si="1"/>
        <v>\[ONC]_INCENTIVES_2023.xlsx</v>
      </c>
      <c r="H16" t="str">
        <f t="shared" si="0"/>
        <v>C:\Users\B508635\Desktop\Yuxi\2024 incentive\chief adjustment\excel\[ONC]_INCENTIVES_2023.xlsx</v>
      </c>
      <c r="I16" s="3"/>
    </row>
    <row r="17" spans="2:9" x14ac:dyDescent="0.35">
      <c r="B17" t="s">
        <v>8</v>
      </c>
      <c r="C17" t="str">
        <f>VLOOKUP(B17,Sheet2!A:C,3,0)</f>
        <v>Chirag.Y.Patel@kp.org</v>
      </c>
      <c r="D17" t="str">
        <f>VLOOKUP(B17,Sheet2!A:D,4,0)</f>
        <v>Patel,</v>
      </c>
      <c r="E17" t="str">
        <f>VLOOKUP(B17,Sheet2!A:D,2,0)</f>
        <v>[UROL]</v>
      </c>
      <c r="F17" s="3" t="s">
        <v>51</v>
      </c>
      <c r="G17" t="str">
        <f t="shared" si="1"/>
        <v>\[UROL]_INCENTIVES_2023.xlsx</v>
      </c>
      <c r="H17" t="str">
        <f t="shared" si="0"/>
        <v>C:\Users\B508635\Desktop\Yuxi\2024 incentive\chief adjustment\excel\[UROL]_INCENTIVES_2023.xlsx</v>
      </c>
      <c r="I17" s="3"/>
    </row>
    <row r="18" spans="2:9" x14ac:dyDescent="0.35">
      <c r="B18" t="s">
        <v>10</v>
      </c>
      <c r="C18" t="str">
        <f>VLOOKUP(B18,Sheet2!A:C,3,0)</f>
        <v>Syed.a.salahuddin@kp.org</v>
      </c>
      <c r="D18" t="str">
        <f>VLOOKUP(B18,Sheet2!A:D,4,0)</f>
        <v>Salahuddin,</v>
      </c>
      <c r="E18" t="str">
        <f>VLOOKUP(B18,Sheet2!A:D,2,0)</f>
        <v>[NEUR]</v>
      </c>
      <c r="F18" s="3" t="s">
        <v>51</v>
      </c>
      <c r="G18" t="str">
        <f t="shared" si="1"/>
        <v>\[NEUR]_INCENTIVES_2023.xlsx</v>
      </c>
      <c r="H18" t="str">
        <f t="shared" si="0"/>
        <v>C:\Users\B508635\Desktop\Yuxi\2024 incentive\chief adjustment\excel\[NEUR]_INCENTIVES_2023.xlsx</v>
      </c>
      <c r="I18" s="3"/>
    </row>
    <row r="19" spans="2:9" x14ac:dyDescent="0.35">
      <c r="B19" t="s">
        <v>9</v>
      </c>
      <c r="C19" t="str">
        <f>VLOOKUP(B19,Sheet2!A:C,3,0)</f>
        <v>mitesh.g.trambadia@kp.org</v>
      </c>
      <c r="D19" t="str">
        <f>VLOOKUP(B19,Sheet2!A:D,4,0)</f>
        <v>Trambadia,</v>
      </c>
      <c r="E19" t="str">
        <f>VLOOKUP(B19,Sheet2!A:D,2,0)</f>
        <v>[HBS]</v>
      </c>
      <c r="F19" s="3" t="s">
        <v>51</v>
      </c>
      <c r="G19" t="str">
        <f t="shared" si="1"/>
        <v>\[HBS]_INCENTIVES_2023.xlsx</v>
      </c>
      <c r="H19" t="str">
        <f t="shared" si="0"/>
        <v>C:\Users\B508635\Desktop\Yuxi\2024 incentive\chief adjustment\excel\[HBS]_INCENTIVES_2023.xlsx</v>
      </c>
      <c r="I19" s="3"/>
    </row>
    <row r="20" spans="2:9" x14ac:dyDescent="0.35">
      <c r="B20" t="s">
        <v>59</v>
      </c>
      <c r="C20" t="str">
        <f>VLOOKUP(B20,Sheet2!A:C,3,0)</f>
        <v>eric.r.wollins@kp.org</v>
      </c>
      <c r="D20" t="str">
        <f>VLOOKUP(B20,Sheet2!A:D,4,0)</f>
        <v>Wollins,</v>
      </c>
      <c r="E20" t="str">
        <f>VLOOKUP(B20,Sheet2!A:D,2,0)</f>
        <v>[GI]</v>
      </c>
      <c r="F20" s="3" t="s">
        <v>51</v>
      </c>
      <c r="G20" t="str">
        <f t="shared" si="1"/>
        <v>\[GI]_INCENTIVES_2023.xlsx</v>
      </c>
      <c r="H20" t="str">
        <f t="shared" si="0"/>
        <v>C:\Users\B508635\Desktop\Yuxi\2024 incentive\chief adjustment\excel\[GI]_INCENTIVES_2023.xlsx</v>
      </c>
      <c r="I20" s="3"/>
    </row>
    <row r="21" spans="2:9" x14ac:dyDescent="0.35">
      <c r="B21" t="s">
        <v>11</v>
      </c>
      <c r="C21" t="str">
        <f>VLOOKUP(B21,Sheet2!A:C,3,0)</f>
        <v>samana.h.zulu@kp.org</v>
      </c>
      <c r="D21" t="str">
        <f>VLOOKUP(B21,Sheet2!A:D,4,0)</f>
        <v>Zulu,</v>
      </c>
      <c r="E21" t="str">
        <f>VLOOKUP(B21,Sheet2!A:D,2,0)</f>
        <v>[GEN SURG]</v>
      </c>
      <c r="F21" s="3" t="s">
        <v>51</v>
      </c>
      <c r="G21" t="str">
        <f t="shared" si="1"/>
        <v>\[GEN SURG]_INCENTIVES_2023.xlsx</v>
      </c>
      <c r="H21" t="str">
        <f t="shared" si="0"/>
        <v>C:\Users\B508635\Desktop\Yuxi\2024 incentive\chief adjustment\excel\[GEN SURG]_INCENTIVES_2023.xlsx</v>
      </c>
      <c r="I21" s="3"/>
    </row>
  </sheetData>
  <phoneticPr fontId="1" type="noConversion"/>
  <hyperlinks>
    <hyperlink ref="F2" r:id="rId1" xr:uid="{6834A7E7-3583-48D7-B22F-75720DEF834A}"/>
    <hyperlink ref="F3:F21" r:id="rId2" display="yuxi.x.wang@kp.org" xr:uid="{7B1E5FF1-0CF4-4185-82C9-ABAEA05169E6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A83C6-6A44-42A5-A60E-D63D093C583A}">
  <sheetPr codeName="Sheet2"/>
  <dimension ref="A1:D21"/>
  <sheetViews>
    <sheetView workbookViewId="0">
      <selection activeCell="H14" sqref="H14"/>
    </sheetView>
  </sheetViews>
  <sheetFormatPr defaultRowHeight="14.5" x14ac:dyDescent="0.35"/>
  <cols>
    <col min="1" max="1" width="27.26953125" bestFit="1" customWidth="1"/>
    <col min="2" max="2" width="20.453125" bestFit="1" customWidth="1"/>
    <col min="4" max="4" width="27.26953125" bestFit="1" customWidth="1"/>
  </cols>
  <sheetData>
    <row r="1" spans="1:4" x14ac:dyDescent="0.35">
      <c r="A1" s="2" t="s">
        <v>15</v>
      </c>
      <c r="B1" s="2" t="s">
        <v>60</v>
      </c>
      <c r="C1" s="2" t="s">
        <v>1</v>
      </c>
      <c r="D1" s="2" t="s">
        <v>69</v>
      </c>
    </row>
    <row r="2" spans="1:4" x14ac:dyDescent="0.35">
      <c r="A2" t="s">
        <v>61</v>
      </c>
      <c r="B2" t="s">
        <v>73</v>
      </c>
      <c r="C2" t="s">
        <v>16</v>
      </c>
      <c r="D2" t="s">
        <v>33</v>
      </c>
    </row>
    <row r="3" spans="1:4" x14ac:dyDescent="0.35">
      <c r="A3" t="s">
        <v>12</v>
      </c>
      <c r="B3" t="s">
        <v>74</v>
      </c>
      <c r="C3" t="s">
        <v>17</v>
      </c>
      <c r="D3" t="s">
        <v>34</v>
      </c>
    </row>
    <row r="4" spans="1:4" x14ac:dyDescent="0.35">
      <c r="A4" t="s">
        <v>6</v>
      </c>
      <c r="B4" t="s">
        <v>75</v>
      </c>
      <c r="C4" t="s">
        <v>18</v>
      </c>
      <c r="D4" t="s">
        <v>35</v>
      </c>
    </row>
    <row r="5" spans="1:4" x14ac:dyDescent="0.35">
      <c r="A5" t="s">
        <v>7</v>
      </c>
      <c r="B5" t="s">
        <v>76</v>
      </c>
      <c r="C5" t="s">
        <v>19</v>
      </c>
      <c r="D5" t="s">
        <v>36</v>
      </c>
    </row>
    <row r="6" spans="1:4" x14ac:dyDescent="0.35">
      <c r="A6" t="s">
        <v>62</v>
      </c>
      <c r="B6" t="s">
        <v>77</v>
      </c>
      <c r="C6" t="s">
        <v>63</v>
      </c>
      <c r="D6" t="s">
        <v>37</v>
      </c>
    </row>
    <row r="7" spans="1:4" x14ac:dyDescent="0.35">
      <c r="A7" t="s">
        <v>53</v>
      </c>
      <c r="B7" t="s">
        <v>78</v>
      </c>
      <c r="C7" t="s">
        <v>64</v>
      </c>
      <c r="D7" t="s">
        <v>70</v>
      </c>
    </row>
    <row r="8" spans="1:4" x14ac:dyDescent="0.35">
      <c r="A8" t="s">
        <v>54</v>
      </c>
      <c r="B8" t="s">
        <v>79</v>
      </c>
      <c r="C8" t="s">
        <v>66</v>
      </c>
      <c r="D8" t="s">
        <v>38</v>
      </c>
    </row>
    <row r="9" spans="1:4" x14ac:dyDescent="0.35">
      <c r="A9" t="s">
        <v>55</v>
      </c>
      <c r="B9" t="s">
        <v>80</v>
      </c>
      <c r="C9" t="s">
        <v>65</v>
      </c>
      <c r="D9" t="s">
        <v>39</v>
      </c>
    </row>
    <row r="10" spans="1:4" x14ac:dyDescent="0.35">
      <c r="A10" t="s">
        <v>56</v>
      </c>
      <c r="B10" t="s">
        <v>81</v>
      </c>
      <c r="C10" t="s">
        <v>67</v>
      </c>
      <c r="D10" t="s">
        <v>71</v>
      </c>
    </row>
    <row r="11" spans="1:4" x14ac:dyDescent="0.35">
      <c r="A11" t="s">
        <v>4</v>
      </c>
      <c r="B11" t="s">
        <v>82</v>
      </c>
      <c r="C11" t="s">
        <v>20</v>
      </c>
      <c r="D11" t="s">
        <v>40</v>
      </c>
    </row>
    <row r="12" spans="1:4" x14ac:dyDescent="0.35">
      <c r="A12" t="s">
        <v>13</v>
      </c>
      <c r="B12" t="s">
        <v>83</v>
      </c>
      <c r="C12" t="s">
        <v>21</v>
      </c>
      <c r="D12" t="s">
        <v>41</v>
      </c>
    </row>
    <row r="13" spans="1:4" x14ac:dyDescent="0.35">
      <c r="A13" t="s">
        <v>5</v>
      </c>
      <c r="B13" t="s">
        <v>84</v>
      </c>
      <c r="C13" t="s">
        <v>22</v>
      </c>
      <c r="D13" t="s">
        <v>42</v>
      </c>
    </row>
    <row r="14" spans="1:4" x14ac:dyDescent="0.35">
      <c r="A14" t="s">
        <v>57</v>
      </c>
      <c r="B14" t="s">
        <v>85</v>
      </c>
      <c r="C14" t="s">
        <v>23</v>
      </c>
      <c r="D14" t="s">
        <v>43</v>
      </c>
    </row>
    <row r="15" spans="1:4" x14ac:dyDescent="0.35">
      <c r="A15" t="s">
        <v>58</v>
      </c>
      <c r="B15" t="s">
        <v>86</v>
      </c>
      <c r="C15" t="s">
        <v>24</v>
      </c>
      <c r="D15" t="s">
        <v>44</v>
      </c>
    </row>
    <row r="16" spans="1:4" x14ac:dyDescent="0.35">
      <c r="A16" t="s">
        <v>14</v>
      </c>
      <c r="B16" t="s">
        <v>87</v>
      </c>
      <c r="C16" t="s">
        <v>25</v>
      </c>
      <c r="D16" t="s">
        <v>45</v>
      </c>
    </row>
    <row r="17" spans="1:4" x14ac:dyDescent="0.35">
      <c r="A17" t="s">
        <v>8</v>
      </c>
      <c r="B17" t="s">
        <v>88</v>
      </c>
      <c r="C17" t="s">
        <v>26</v>
      </c>
      <c r="D17" t="s">
        <v>46</v>
      </c>
    </row>
    <row r="18" spans="1:4" x14ac:dyDescent="0.35">
      <c r="A18" t="s">
        <v>10</v>
      </c>
      <c r="B18" t="s">
        <v>89</v>
      </c>
      <c r="C18" t="s">
        <v>27</v>
      </c>
      <c r="D18" t="s">
        <v>47</v>
      </c>
    </row>
    <row r="19" spans="1:4" x14ac:dyDescent="0.35">
      <c r="A19" t="s">
        <v>9</v>
      </c>
      <c r="B19" t="s">
        <v>90</v>
      </c>
      <c r="C19" t="s">
        <v>28</v>
      </c>
      <c r="D19" t="s">
        <v>48</v>
      </c>
    </row>
    <row r="20" spans="1:4" x14ac:dyDescent="0.35">
      <c r="A20" t="s">
        <v>59</v>
      </c>
      <c r="B20" t="s">
        <v>91</v>
      </c>
      <c r="C20" t="s">
        <v>68</v>
      </c>
      <c r="D20" t="s">
        <v>72</v>
      </c>
    </row>
    <row r="21" spans="1:4" x14ac:dyDescent="0.35">
      <c r="A21" t="s">
        <v>11</v>
      </c>
      <c r="B21" t="s">
        <v>92</v>
      </c>
      <c r="C21" t="s">
        <v>29</v>
      </c>
      <c r="D21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Sheet3</vt:lpstr>
      <vt:lpstr>Sheet2</vt:lpstr>
      <vt:lpstr>Sheet3!_Hlk528588344</vt:lpstr>
      <vt:lpstr>Sheet3!_MailAutoSig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Yuxi Wang</dc:creator>
  <cp:lastModifiedBy>Yuxi Wang</cp:lastModifiedBy>
  <dcterms:created xsi:type="dcterms:W3CDTF">2023-04-14T19:13:34Z</dcterms:created>
  <dcterms:modified xsi:type="dcterms:W3CDTF">2024-03-12T14:03:31Z</dcterms:modified>
</cp:coreProperties>
</file>